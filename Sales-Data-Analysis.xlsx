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ISWIPE DATA ANALYSIS CLASS\"/>
    </mc:Choice>
  </mc:AlternateContent>
  <xr:revisionPtr revIDLastSave="0" documentId="8_{E36F301F-79F1-489B-813D-3B9A6E44403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ivot Table 1" sheetId="3" r:id="rId1"/>
    <sheet name="Sales-Data-Analysis classwork" sheetId="1" r:id="rId2"/>
    <sheet name="Dash Board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A75" i="3"/>
  <c r="A70" i="3"/>
  <c r="A78" i="3"/>
  <c r="A65" i="3"/>
  <c r="A61" i="3"/>
</calcChain>
</file>

<file path=xl/sharedStrings.xml><?xml version="1.0" encoding="utf-8"?>
<sst xmlns="http://schemas.openxmlformats.org/spreadsheetml/2006/main" count="152" uniqueCount="50">
  <si>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</si>
  <si>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</si>
  <si>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</si>
  <si>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</si>
  <si>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</si>
  <si>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</si>
  <si>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</si>
  <si>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</si>
  <si>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</si>
  <si>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</si>
  <si>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</si>
  <si>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</si>
  <si>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London</t>
  </si>
  <si>
    <t>Beverages</t>
  </si>
  <si>
    <t>Madrid</t>
  </si>
  <si>
    <t>Sides &amp; Other</t>
  </si>
  <si>
    <t xml:space="preserve">In-store </t>
  </si>
  <si>
    <t>Lisbon</t>
  </si>
  <si>
    <t>Burgers</t>
  </si>
  <si>
    <t xml:space="preserve"> Credit Card</t>
  </si>
  <si>
    <t>Walter Muller</t>
  </si>
  <si>
    <t>Berlin</t>
  </si>
  <si>
    <t>Chicken Sandwiches</t>
  </si>
  <si>
    <t>Paris</t>
  </si>
  <si>
    <t>Remy Monet</t>
  </si>
  <si>
    <t>Pablo Perez</t>
  </si>
  <si>
    <t>Tom Jackson</t>
  </si>
  <si>
    <t>Joao Silva</t>
  </si>
  <si>
    <t>Row Labels</t>
  </si>
  <si>
    <t>Grand Total</t>
  </si>
  <si>
    <t>Payment Methods</t>
  </si>
  <si>
    <t>Product by Quantity</t>
  </si>
  <si>
    <t>Revenue</t>
  </si>
  <si>
    <t>Product by Revenue</t>
  </si>
  <si>
    <t xml:space="preserve"> Revenue by City</t>
  </si>
  <si>
    <t>Revenue by Manager</t>
  </si>
  <si>
    <t>Jul</t>
  </si>
  <si>
    <t>Aug</t>
  </si>
  <si>
    <t>Sep</t>
  </si>
  <si>
    <t>Oct</t>
  </si>
  <si>
    <t>Revenue by date</t>
  </si>
  <si>
    <t>Average Revenue</t>
  </si>
  <si>
    <t>StdDev of Revenue</t>
  </si>
  <si>
    <t>StdDev of Quantity</t>
  </si>
  <si>
    <t>Var of Revenue</t>
  </si>
  <si>
    <t>Var of Quantity</t>
  </si>
  <si>
    <t>Average of Quantity</t>
  </si>
  <si>
    <t>Average of Revenue</t>
  </si>
  <si>
    <t>SALES DASHBOARD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</si>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</sst>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6" fillId="33" borderId="11" xfId="0" applyFont="1" applyFill="1" applyBorder="1"/>
    <xf numFmtId="0" fontId="0" fillId="34" borderId="0" xfId="0" applyFill="1"/>
    <xf numFmtId="44" fontId="0" fillId="0" borderId="0" xfId="42" applyFont="1"/>
    <xf numFmtId="0" fontId="19" fillId="35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26-41AA-8BBC-3A0785F900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26-41AA-8BBC-3A0785F90045}"/>
              </c:ext>
            </c:extLst>
          </c:dPt>
          <c:cat>
            <c:strRef>
              <c:f>'Pivot Table 1'!$A$4:$A$6</c:f>
              <c:strCache>
                <c:ptCount val="2"/>
                <c:pt idx="0">
                  <c:v> Credit Card</c:v>
                </c:pt>
                <c:pt idx="1">
                  <c:v> Gift Card</c:v>
                </c:pt>
              </c:strCache>
            </c:strRef>
          </c:cat>
          <c:val>
            <c:numRef>
              <c:f>'Pivot Table 1'!$B$4:$B$6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D-4513-8EB9-E3401EC9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1'!$A$11:$A$16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 1'!$B$11:$B$16</c:f>
              <c:numCache>
                <c:formatCode>General</c:formatCode>
                <c:ptCount val="5"/>
                <c:pt idx="0">
                  <c:v>1423.73</c:v>
                </c:pt>
                <c:pt idx="1">
                  <c:v>1678.21</c:v>
                </c:pt>
                <c:pt idx="2">
                  <c:v>603.03</c:v>
                </c:pt>
                <c:pt idx="3">
                  <c:v>2292.2800000000002</c:v>
                </c:pt>
                <c:pt idx="4">
                  <c:v>601.20000000000005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4-480F-8606-A58FBF19B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932680"/>
        <c:axId val="433934320"/>
      </c:barChart>
      <c:catAx>
        <c:axId val="43393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34320"/>
        <c:crosses val="autoZero"/>
        <c:auto val="1"/>
        <c:lblAlgn val="ctr"/>
        <c:lblOffset val="100"/>
        <c:noMultiLvlLbl val="0"/>
      </c:catAx>
      <c:valAx>
        <c:axId val="43393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3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1'!$A$21:$A$26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 1'!$B$21:$B$26</c:f>
              <c:numCache>
                <c:formatCode>0.00</c:formatCode>
                <c:ptCount val="5"/>
                <c:pt idx="0">
                  <c:v>4200.0035000000007</c:v>
                </c:pt>
                <c:pt idx="1">
                  <c:v>21799.947899999999</c:v>
                </c:pt>
                <c:pt idx="2">
                  <c:v>6000.1484999999993</c:v>
                </c:pt>
                <c:pt idx="3">
                  <c:v>8000.0572000000011</c:v>
                </c:pt>
                <c:pt idx="4">
                  <c:v>2999.9880000000003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E-4287-993B-009D13B23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9692368"/>
        <c:axId val="519692696"/>
      </c:barChart>
      <c:catAx>
        <c:axId val="51969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92696"/>
        <c:crosses val="autoZero"/>
        <c:auto val="1"/>
        <c:lblAlgn val="ctr"/>
        <c:lblOffset val="100"/>
        <c:noMultiLvlLbl val="0"/>
      </c:catAx>
      <c:valAx>
        <c:axId val="519692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9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1!PivotTable5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 1'!$B$40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1'!$A$41:$A$46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 1'!$B$41:$B$46</c:f>
              <c:numCache>
                <c:formatCode>0.00</c:formatCode>
                <c:ptCount val="5"/>
                <c:pt idx="0">
                  <c:v>999.99600000000009</c:v>
                </c:pt>
                <c:pt idx="1">
                  <c:v>13400.0231</c:v>
                </c:pt>
                <c:pt idx="2">
                  <c:v>16200.052900000002</c:v>
                </c:pt>
                <c:pt idx="3">
                  <c:v>2000.0143000000003</c:v>
                </c:pt>
                <c:pt idx="4">
                  <c:v>10400.058799999999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0-4E68-B8D3-ABB98EAAC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1394424"/>
        <c:axId val="681392128"/>
        <c:axId val="0"/>
      </c:bar3DChart>
      <c:catAx>
        <c:axId val="681394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92128"/>
        <c:crosses val="autoZero"/>
        <c:auto val="1"/>
        <c:lblAlgn val="ctr"/>
        <c:lblOffset val="100"/>
        <c:noMultiLvlLbl val="0"/>
      </c:catAx>
      <c:valAx>
        <c:axId val="68139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9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1!PivotTable6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1'!$A$51:$A$55</c:f>
              <c:strCache>
                <c:ptCount val="4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'Pivot Table 1'!$B$51:$B$55</c:f>
              <c:numCache>
                <c:formatCode>0.00</c:formatCode>
                <c:ptCount val="4"/>
                <c:pt idx="0">
                  <c:v>5200.002300000001</c:v>
                </c:pt>
                <c:pt idx="1">
                  <c:v>12400.073100000001</c:v>
                </c:pt>
                <c:pt idx="2">
                  <c:v>14200.0386</c:v>
                </c:pt>
                <c:pt idx="3">
                  <c:v>11200.0311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B-451F-A566-3A646FAC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760088"/>
        <c:axId val="487653072"/>
      </c:barChart>
      <c:catAx>
        <c:axId val="48676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653072"/>
        <c:crosses val="autoZero"/>
        <c:auto val="1"/>
        <c:lblAlgn val="ctr"/>
        <c:lblOffset val="100"/>
        <c:noMultiLvlLbl val="0"/>
      </c:catAx>
      <c:valAx>
        <c:axId val="4876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6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1!PivotTable12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1'!$B$80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1'!$A$81:$A$86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 1'!$B$81:$B$86</c:f>
              <c:numCache>
                <c:formatCode>0.00</c:formatCode>
                <c:ptCount val="5"/>
                <c:pt idx="0">
                  <c:v>711.86500000000001</c:v>
                </c:pt>
                <c:pt idx="1">
                  <c:v>559.40333333333331</c:v>
                </c:pt>
                <c:pt idx="2">
                  <c:v>201.01</c:v>
                </c:pt>
                <c:pt idx="3">
                  <c:v>573.07000000000005</c:v>
                </c:pt>
                <c:pt idx="4">
                  <c:v>200.4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A-4C23-8E3A-34B98155A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2655928"/>
        <c:axId val="492655600"/>
        <c:axId val="0"/>
      </c:bar3DChart>
      <c:catAx>
        <c:axId val="49265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55600"/>
        <c:crosses val="autoZero"/>
        <c:auto val="1"/>
        <c:lblAlgn val="ctr"/>
        <c:lblOffset val="100"/>
        <c:noMultiLvlLbl val="0"/>
      </c:catAx>
      <c:valAx>
        <c:axId val="49265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5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1!PivotTable13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1'!$A$91:$A$96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 1'!$B$91:$B$96</c:f>
              <c:numCache>
                <c:formatCode>0.00</c:formatCode>
                <c:ptCount val="5"/>
                <c:pt idx="0">
                  <c:v>2100.0017500000004</c:v>
                </c:pt>
                <c:pt idx="1">
                  <c:v>7266.6493</c:v>
                </c:pt>
                <c:pt idx="2">
                  <c:v>2000.0494999999999</c:v>
                </c:pt>
                <c:pt idx="3">
                  <c:v>2000.0143000000003</c:v>
                </c:pt>
                <c:pt idx="4">
                  <c:v>999.99600000000009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1-4EB2-AE7C-70964C9D8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8314952"/>
        <c:axId val="598330040"/>
      </c:barChart>
      <c:catAx>
        <c:axId val="598314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30040"/>
        <c:crosses val="autoZero"/>
        <c:auto val="1"/>
        <c:lblAlgn val="ctr"/>
        <c:lblOffset val="100"/>
        <c:noMultiLvlLbl val="0"/>
      </c:catAx>
      <c:valAx>
        <c:axId val="59833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1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1!PivotTable6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1'!$B$50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1'!$A$51:$A$55</c:f>
              <c:strCache>
                <c:ptCount val="4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'Pivot Table 1'!$B$51:$B$55</c:f>
              <c:numCache>
                <c:formatCode>0.00</c:formatCode>
                <c:ptCount val="4"/>
                <c:pt idx="0">
                  <c:v>5200.002300000001</c:v>
                </c:pt>
                <c:pt idx="1">
                  <c:v>12400.073100000001</c:v>
                </c:pt>
                <c:pt idx="2">
                  <c:v>14200.0386</c:v>
                </c:pt>
                <c:pt idx="3">
                  <c:v>11200.0311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9-437F-B692-B1CE4038D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734848"/>
        <c:axId val="487731568"/>
      </c:lineChart>
      <c:catAx>
        <c:axId val="48773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31568"/>
        <c:crosses val="autoZero"/>
        <c:auto val="1"/>
        <c:lblAlgn val="ctr"/>
        <c:lblOffset val="100"/>
        <c:noMultiLvlLbl val="0"/>
      </c:catAx>
      <c:valAx>
        <c:axId val="4877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3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3-4D28-9E62-F3DA57435D2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93-4D28-9E62-F3DA57435D2D}"/>
              </c:ext>
            </c:extLst>
          </c:dPt>
          <c:cat>
            <c:strRef>
              <c:f>'Pivot Table 1'!$A$4:$A$6</c:f>
              <c:strCache>
                <c:ptCount val="2"/>
                <c:pt idx="0">
                  <c:v> Credit Card</c:v>
                </c:pt>
                <c:pt idx="1">
                  <c:v> Gift Card</c:v>
                </c:pt>
              </c:strCache>
            </c:strRef>
          </c:cat>
          <c:val>
            <c:numRef>
              <c:f>'Pivot Table 1'!$B$4:$B$6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93-4D28-9E62-F3DA57435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1'!$B$10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 1'!$A$11:$A$16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 1'!$B$11:$B$16</c:f>
              <c:numCache>
                <c:formatCode>General</c:formatCode>
                <c:ptCount val="5"/>
                <c:pt idx="0">
                  <c:v>1423.73</c:v>
                </c:pt>
                <c:pt idx="1">
                  <c:v>1678.21</c:v>
                </c:pt>
                <c:pt idx="2">
                  <c:v>603.03</c:v>
                </c:pt>
                <c:pt idx="3">
                  <c:v>2292.2800000000002</c:v>
                </c:pt>
                <c:pt idx="4">
                  <c:v>601.20000000000005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4-4373-B1A1-2CA82EAF1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33932680"/>
        <c:axId val="433934320"/>
      </c:barChart>
      <c:catAx>
        <c:axId val="43393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34320"/>
        <c:crosses val="autoZero"/>
        <c:auto val="1"/>
        <c:lblAlgn val="ctr"/>
        <c:lblOffset val="100"/>
        <c:noMultiLvlLbl val="0"/>
      </c:catAx>
      <c:valAx>
        <c:axId val="43393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3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1'!$A$21:$A$26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 1'!$B$21:$B$26</c:f>
              <c:numCache>
                <c:formatCode>0.00</c:formatCode>
                <c:ptCount val="5"/>
                <c:pt idx="0">
                  <c:v>4200.0035000000007</c:v>
                </c:pt>
                <c:pt idx="1">
                  <c:v>21799.947899999999</c:v>
                </c:pt>
                <c:pt idx="2">
                  <c:v>6000.1484999999993</c:v>
                </c:pt>
                <c:pt idx="3">
                  <c:v>8000.0572000000011</c:v>
                </c:pt>
                <c:pt idx="4">
                  <c:v>2999.9880000000003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8-4CDB-8F29-DE5BDC192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9692368"/>
        <c:axId val="519692696"/>
      </c:barChart>
      <c:catAx>
        <c:axId val="51969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92696"/>
        <c:crosses val="autoZero"/>
        <c:auto val="1"/>
        <c:lblAlgn val="ctr"/>
        <c:lblOffset val="100"/>
        <c:noMultiLvlLbl val="0"/>
      </c:catAx>
      <c:valAx>
        <c:axId val="51969269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9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1!PivotTable5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9983372655911298"/>
          <c:y val="0.25539690392666514"/>
          <c:w val="0.38843976514478146"/>
          <c:h val="0.6535927574584986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 1'!$B$40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'Pivot Table 1'!$A$41:$A$46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 1'!$B$41:$B$46</c:f>
              <c:numCache>
                <c:formatCode>0.00</c:formatCode>
                <c:ptCount val="5"/>
                <c:pt idx="0">
                  <c:v>999.99600000000009</c:v>
                </c:pt>
                <c:pt idx="1">
                  <c:v>13400.0231</c:v>
                </c:pt>
                <c:pt idx="2">
                  <c:v>16200.052900000002</c:v>
                </c:pt>
                <c:pt idx="3">
                  <c:v>2000.0143000000003</c:v>
                </c:pt>
                <c:pt idx="4">
                  <c:v>10400.058799999999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9-4C3D-A3EA-725AEE838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1394424"/>
        <c:axId val="681392128"/>
        <c:axId val="0"/>
      </c:bar3DChart>
      <c:catAx>
        <c:axId val="681394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92128"/>
        <c:crosses val="autoZero"/>
        <c:auto val="1"/>
        <c:lblAlgn val="ctr"/>
        <c:lblOffset val="100"/>
        <c:noMultiLvlLbl val="0"/>
      </c:catAx>
      <c:valAx>
        <c:axId val="6813921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9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1!PivotTable6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1'!$A$51:$A$55</c:f>
              <c:strCache>
                <c:ptCount val="4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'Pivot Table 1'!$B$51:$B$55</c:f>
              <c:numCache>
                <c:formatCode>0.00</c:formatCode>
                <c:ptCount val="4"/>
                <c:pt idx="0">
                  <c:v>5200.002300000001</c:v>
                </c:pt>
                <c:pt idx="1">
                  <c:v>12400.073100000001</c:v>
                </c:pt>
                <c:pt idx="2">
                  <c:v>14200.0386</c:v>
                </c:pt>
                <c:pt idx="3">
                  <c:v>11200.0311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9-428A-B841-9666CE2E9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760088"/>
        <c:axId val="487653072"/>
      </c:barChart>
      <c:catAx>
        <c:axId val="48676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653072"/>
        <c:crosses val="autoZero"/>
        <c:auto val="1"/>
        <c:lblAlgn val="ctr"/>
        <c:lblOffset val="100"/>
        <c:noMultiLvlLbl val="0"/>
      </c:catAx>
      <c:valAx>
        <c:axId val="48765307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6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1!PivotTable12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1'!$B$80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1'!$A$81:$A$86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 1'!$B$81:$B$86</c:f>
              <c:numCache>
                <c:formatCode>0.00</c:formatCode>
                <c:ptCount val="5"/>
                <c:pt idx="0">
                  <c:v>711.86500000000001</c:v>
                </c:pt>
                <c:pt idx="1">
                  <c:v>559.40333333333331</c:v>
                </c:pt>
                <c:pt idx="2">
                  <c:v>201.01</c:v>
                </c:pt>
                <c:pt idx="3">
                  <c:v>573.07000000000005</c:v>
                </c:pt>
                <c:pt idx="4">
                  <c:v>200.4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2-4E2B-832B-028338048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2655928"/>
        <c:axId val="492655600"/>
        <c:axId val="0"/>
      </c:bar3DChart>
      <c:catAx>
        <c:axId val="49265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55600"/>
        <c:crosses val="autoZero"/>
        <c:auto val="1"/>
        <c:lblAlgn val="ctr"/>
        <c:lblOffset val="100"/>
        <c:noMultiLvlLbl val="0"/>
      </c:catAx>
      <c:valAx>
        <c:axId val="4926556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5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1!PivotTable13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756253089541099"/>
          <c:y val="0.25609952507370393"/>
          <c:w val="0.4524566774540596"/>
          <c:h val="0.589314444301171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 1'!$B$90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1'!$A$91:$A$96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 1'!$B$91:$B$96</c:f>
              <c:numCache>
                <c:formatCode>0.00</c:formatCode>
                <c:ptCount val="5"/>
                <c:pt idx="0">
                  <c:v>2100.0017500000004</c:v>
                </c:pt>
                <c:pt idx="1">
                  <c:v>7266.6493</c:v>
                </c:pt>
                <c:pt idx="2">
                  <c:v>2000.0494999999999</c:v>
                </c:pt>
                <c:pt idx="3">
                  <c:v>2000.0143000000003</c:v>
                </c:pt>
                <c:pt idx="4">
                  <c:v>999.99600000000009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2-4AED-9EF8-5C13D3DB9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98314952"/>
        <c:axId val="598330040"/>
      </c:barChart>
      <c:catAx>
        <c:axId val="598314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30040"/>
        <c:crosses val="autoZero"/>
        <c:auto val="1"/>
        <c:lblAlgn val="ctr"/>
        <c:lblOffset val="100"/>
        <c:noMultiLvlLbl val="0"/>
      </c:catAx>
      <c:valAx>
        <c:axId val="59833004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1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 1!PivotTable6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20986618942293"/>
          <c:y val="0.24890130143630906"/>
          <c:w val="0.72121321135927841"/>
          <c:h val="0.5470686608021785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1'!$B$50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1'!$A$51:$A$55</c:f>
              <c:strCache>
                <c:ptCount val="4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'Pivot Table 1'!$B$51:$B$55</c:f>
              <c:numCache>
                <c:formatCode>0.00</c:formatCode>
                <c:ptCount val="4"/>
                <c:pt idx="0">
                  <c:v>5200.002300000001</c:v>
                </c:pt>
                <c:pt idx="1">
                  <c:v>12400.073100000001</c:v>
                </c:pt>
                <c:pt idx="2">
                  <c:v>14200.0386</c:v>
                </c:pt>
                <c:pt idx="3">
                  <c:v>11200.0311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2-4A80-98B3-FB27FA831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734848"/>
        <c:axId val="487731568"/>
      </c:lineChart>
      <c:catAx>
        <c:axId val="48773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31568"/>
        <c:crosses val="autoZero"/>
        <c:auto val="1"/>
        <c:lblAlgn val="ctr"/>
        <c:lblOffset val="100"/>
        <c:noMultiLvlLbl val="0"/>
      </c:catAx>
      <c:valAx>
        <c:axId val="48773156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3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0</xdr:rowOff>
    </xdr:from>
    <xdr:to>
      <xdr:col>11</xdr:col>
      <xdr:colOff>295275</xdr:colOff>
      <xdr:row>11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C92D83-DD99-4278-B0A7-1F5D2EC5A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12</xdr:row>
      <xdr:rowOff>71437</xdr:rowOff>
    </xdr:from>
    <xdr:to>
      <xdr:col>11</xdr:col>
      <xdr:colOff>381000</xdr:colOff>
      <xdr:row>25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A0C686-89BC-4E81-B524-BAE63E3C9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25</xdr:row>
      <xdr:rowOff>119062</xdr:rowOff>
    </xdr:from>
    <xdr:to>
      <xdr:col>11</xdr:col>
      <xdr:colOff>342900</xdr:colOff>
      <xdr:row>40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2ADB7E-DA2C-4C18-B079-461F968E5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76200</xdr:colOff>
      <xdr:row>56</xdr:row>
      <xdr:rowOff>23812</xdr:rowOff>
    </xdr:from>
    <xdr:to>
      <xdr:col>11</xdr:col>
      <xdr:colOff>381000</xdr:colOff>
      <xdr:row>70</xdr:row>
      <xdr:rowOff>100012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9788A8-91FD-4E67-A509-230FD1A3A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228600</xdr:colOff>
      <xdr:row>71</xdr:row>
      <xdr:rowOff>80962</xdr:rowOff>
    </xdr:from>
    <xdr:to>
      <xdr:col>11</xdr:col>
      <xdr:colOff>533400</xdr:colOff>
      <xdr:row>85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08AF4B-29B7-429C-8F7B-0322C3CE3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304800</xdr:colOff>
      <xdr:row>86</xdr:row>
      <xdr:rowOff>33337</xdr:rowOff>
    </xdr:from>
    <xdr:to>
      <xdr:col>12</xdr:col>
      <xdr:colOff>0</xdr:colOff>
      <xdr:row>100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3FF6A6-B715-4349-A941-41A007C73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314325</xdr:colOff>
      <xdr:row>101</xdr:row>
      <xdr:rowOff>176212</xdr:rowOff>
    </xdr:from>
    <xdr:to>
      <xdr:col>12</xdr:col>
      <xdr:colOff>9525</xdr:colOff>
      <xdr:row>116</xdr:row>
      <xdr:rowOff>61912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73AB56B-6700-4D63-81BB-B628F8F6D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219075</xdr:colOff>
      <xdr:row>42</xdr:row>
      <xdr:rowOff>33337</xdr:rowOff>
    </xdr:from>
    <xdr:to>
      <xdr:col>11</xdr:col>
      <xdr:colOff>523875</xdr:colOff>
      <xdr:row>56</xdr:row>
      <xdr:rowOff>109537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9FB6225-C431-4B2F-B3CE-6499B2EA3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129886</xdr:colOff>
      <xdr:row>2</xdr:row>
      <xdr:rowOff>83552</xdr:rowOff>
    </xdr:from>
    <xdr:to>
      <xdr:col>9</xdr:col>
      <xdr:colOff>108238</xdr:colOff>
      <xdr:row>18</xdr:row>
      <xdr:rowOff>150394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1D3C0-D810-440B-BBFD-E1B0CBE2E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304967</xdr:colOff>
      <xdr:row>2</xdr:row>
      <xdr:rowOff>83555</xdr:rowOff>
    </xdr:from>
    <xdr:to>
      <xdr:col>19</xdr:col>
      <xdr:colOff>194829</xdr:colOff>
      <xdr:row>18</xdr:row>
      <xdr:rowOff>167105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CBF61E-64C1-4943-A962-873F9DEB2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150395</xdr:colOff>
      <xdr:row>35</xdr:row>
      <xdr:rowOff>39197</xdr:rowOff>
    </xdr:from>
    <xdr:to>
      <xdr:col>18</xdr:col>
      <xdr:colOff>497897</xdr:colOff>
      <xdr:row>49</xdr:row>
      <xdr:rowOff>165189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8102C3-BC79-44BD-A541-A52C0A67D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150394</xdr:colOff>
      <xdr:row>19</xdr:row>
      <xdr:rowOff>113309</xdr:rowOff>
    </xdr:from>
    <xdr:to>
      <xdr:col>19</xdr:col>
      <xdr:colOff>43295</xdr:colOff>
      <xdr:row>34</xdr:row>
      <xdr:rowOff>32236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5217DB-8EE9-4B80-9B54-084FD4B27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173182</xdr:colOff>
      <xdr:row>19</xdr:row>
      <xdr:rowOff>138203</xdr:rowOff>
    </xdr:from>
    <xdr:to>
      <xdr:col>9</xdr:col>
      <xdr:colOff>1</xdr:colOff>
      <xdr:row>34</xdr:row>
      <xdr:rowOff>38349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1B1E82-2FFC-4E18-98D4-5D879975B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151534</xdr:colOff>
      <xdr:row>35</xdr:row>
      <xdr:rowOff>42492</xdr:rowOff>
    </xdr:from>
    <xdr:to>
      <xdr:col>8</xdr:col>
      <xdr:colOff>551447</xdr:colOff>
      <xdr:row>49</xdr:row>
      <xdr:rowOff>135336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16E666-5346-4D6B-8541-751C96B34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544285</xdr:colOff>
      <xdr:row>51</xdr:row>
      <xdr:rowOff>0</xdr:rowOff>
    </xdr:from>
    <xdr:to>
      <xdr:col>26</xdr:col>
      <xdr:colOff>544286</xdr:colOff>
      <xdr:row>65</xdr:row>
      <xdr:rowOff>78248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E8A5324-1D88-4F73-9093-C05B4EDC6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129886</xdr:colOff>
      <xdr:row>50</xdr:row>
      <xdr:rowOff>136072</xdr:rowOff>
    </xdr:from>
    <xdr:to>
      <xdr:col>13</xdr:col>
      <xdr:colOff>277708</xdr:colOff>
      <xdr:row>65</xdr:row>
      <xdr:rowOff>78248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B42F3A-392E-424F-A1AD-825567E5F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288369</xdr:colOff>
      <xdr:row>2</xdr:row>
      <xdr:rowOff>56966</xdr:rowOff>
    </xdr:from>
    <xdr:to>
      <xdr:col>27</xdr:col>
      <xdr:colOff>-1</xdr:colOff>
      <xdr:row>10</xdr:row>
      <xdr:rowOff>90389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5A076313-222B-4B33-95DD-935C34389039}"/>
            </a:ext>
          </a:extLst>
        </xdr:cNvPr>
        <xdr:cNvGrpSpPr/>
      </xdr:nvGrpSpPr>
      <xdr:grpSpPr>
        <a:xfrm>
          <a:off x="11663940" y="710109"/>
          <a:ext cx="4501345" cy="1557423"/>
          <a:chOff x="11627890" y="146051"/>
          <a:chExt cx="3756338" cy="2052571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FA5940E-2656-44D8-8281-83B915E576C2}"/>
              </a:ext>
            </a:extLst>
          </xdr:cNvPr>
          <xdr:cNvSpPr/>
        </xdr:nvSpPr>
        <xdr:spPr>
          <a:xfrm>
            <a:off x="11627890" y="146051"/>
            <a:ext cx="3756338" cy="2052571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 1'!A61">
        <xdr:nvSpPr>
          <xdr:cNvPr id="11" name="TextBox 10">
            <a:extLst>
              <a:ext uri="{FF2B5EF4-FFF2-40B4-BE49-F238E27FC236}">
                <a16:creationId xmlns:a16="http://schemas.microsoft.com/office/drawing/2014/main" id="{E4665DD7-C748-4A3C-8E57-A9243476E632}"/>
              </a:ext>
            </a:extLst>
          </xdr:cNvPr>
          <xdr:cNvSpPr txBox="1"/>
        </xdr:nvSpPr>
        <xdr:spPr>
          <a:xfrm>
            <a:off x="12469732" y="1098566"/>
            <a:ext cx="1797676" cy="5131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C7897C0-B1ED-4F95-A336-7E18D74ADB6A}" type="TxLink">
              <a:rPr lang="en-US" sz="28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$2,866.68 </a:t>
            </a:fld>
            <a:endParaRPr lang="en-US" sz="28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3D5D2A1-E574-4421-9A45-138917E7620D}"/>
              </a:ext>
            </a:extLst>
          </xdr:cNvPr>
          <xdr:cNvSpPr txBox="1"/>
        </xdr:nvSpPr>
        <xdr:spPr>
          <a:xfrm>
            <a:off x="12238291" y="484448"/>
            <a:ext cx="3084488" cy="585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1"/>
              <a:t>AVERAGE REVENUE</a:t>
            </a:r>
          </a:p>
        </xdr:txBody>
      </xdr:sp>
    </xdr:grpSp>
    <xdr:clientData/>
  </xdr:twoCellAnchor>
  <xdr:twoCellAnchor>
    <xdr:from>
      <xdr:col>19</xdr:col>
      <xdr:colOff>271039</xdr:colOff>
      <xdr:row>10</xdr:row>
      <xdr:rowOff>146598</xdr:rowOff>
    </xdr:from>
    <xdr:to>
      <xdr:col>27</xdr:col>
      <xdr:colOff>-1</xdr:colOff>
      <xdr:row>18</xdr:row>
      <xdr:rowOff>85452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3EA01D6-6442-4474-8792-21E848BF49BE}"/>
            </a:ext>
          </a:extLst>
        </xdr:cNvPr>
        <xdr:cNvGrpSpPr/>
      </xdr:nvGrpSpPr>
      <xdr:grpSpPr>
        <a:xfrm>
          <a:off x="11646610" y="2323741"/>
          <a:ext cx="4518675" cy="1462854"/>
          <a:chOff x="11529039" y="2674567"/>
          <a:chExt cx="3760958" cy="1186448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67A41FDF-0D45-46E6-8D98-12A7A39F9013}"/>
              </a:ext>
            </a:extLst>
          </xdr:cNvPr>
          <xdr:cNvSpPr/>
        </xdr:nvSpPr>
        <xdr:spPr>
          <a:xfrm>
            <a:off x="11529039" y="2674567"/>
            <a:ext cx="3760958" cy="118644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 1'!A65">
        <xdr:nvSpPr>
          <xdr:cNvPr id="15" name="TextBox 14">
            <a:extLst>
              <a:ext uri="{FF2B5EF4-FFF2-40B4-BE49-F238E27FC236}">
                <a16:creationId xmlns:a16="http://schemas.microsoft.com/office/drawing/2014/main" id="{363848B8-48B1-430A-951C-A83626D40BFA}"/>
              </a:ext>
            </a:extLst>
          </xdr:cNvPr>
          <xdr:cNvSpPr txBox="1"/>
        </xdr:nvSpPr>
        <xdr:spPr>
          <a:xfrm>
            <a:off x="12421776" y="3350278"/>
            <a:ext cx="1778471" cy="37789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9AC929F-AB19-4770-9577-6755B343860C}" type="TxLink">
              <a:rPr lang="en-US" sz="28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$2,314.74 </a:t>
            </a:fld>
            <a:endParaRPr lang="en-US" sz="28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6AC1A4D-9A49-4570-8D65-09A56D024879}"/>
              </a:ext>
            </a:extLst>
          </xdr:cNvPr>
          <xdr:cNvSpPr txBox="1"/>
        </xdr:nvSpPr>
        <xdr:spPr>
          <a:xfrm>
            <a:off x="12254599" y="2788993"/>
            <a:ext cx="2701322" cy="4585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StdDev of Revenue</a:t>
            </a:r>
            <a:r>
              <a:rPr lang="en-US"/>
              <a:t> </a:t>
            </a:r>
            <a:endParaRPr lang="en-US" sz="1100"/>
          </a:p>
        </xdr:txBody>
      </xdr:sp>
    </xdr:grpSp>
    <xdr:clientData/>
  </xdr:twoCellAnchor>
  <xdr:twoCellAnchor>
    <xdr:from>
      <xdr:col>19</xdr:col>
      <xdr:colOff>173181</xdr:colOff>
      <xdr:row>19</xdr:row>
      <xdr:rowOff>143560</xdr:rowOff>
    </xdr:from>
    <xdr:to>
      <xdr:col>27</xdr:col>
      <xdr:colOff>-1</xdr:colOff>
      <xdr:row>34</xdr:row>
      <xdr:rowOff>43295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437132E0-21E0-484A-B6E1-E95201F76F22}"/>
            </a:ext>
          </a:extLst>
        </xdr:cNvPr>
        <xdr:cNvGrpSpPr/>
      </xdr:nvGrpSpPr>
      <xdr:grpSpPr>
        <a:xfrm>
          <a:off x="11548752" y="4035203"/>
          <a:ext cx="4616533" cy="2757235"/>
          <a:chOff x="11684894" y="6899945"/>
          <a:chExt cx="3957571" cy="2262837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F693AF5A-B579-4438-8A5C-DCF7E261E248}"/>
              </a:ext>
            </a:extLst>
          </xdr:cNvPr>
          <xdr:cNvSpPr/>
        </xdr:nvSpPr>
        <xdr:spPr>
          <a:xfrm>
            <a:off x="11684894" y="6899945"/>
            <a:ext cx="3957571" cy="2262837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 1'!A75">
        <xdr:nvSpPr>
          <xdr:cNvPr id="19" name="TextBox 18">
            <a:extLst>
              <a:ext uri="{FF2B5EF4-FFF2-40B4-BE49-F238E27FC236}">
                <a16:creationId xmlns:a16="http://schemas.microsoft.com/office/drawing/2014/main" id="{54BB6392-2BA6-4A2B-B9CB-D90BBE254BF0}"/>
              </a:ext>
            </a:extLst>
          </xdr:cNvPr>
          <xdr:cNvSpPr txBox="1"/>
        </xdr:nvSpPr>
        <xdr:spPr>
          <a:xfrm>
            <a:off x="12613914" y="7668382"/>
            <a:ext cx="2106232" cy="60691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FE5EF47-6EF8-4823-9A5A-3869F08A9778}" type="TxLink">
              <a:rPr lang="en-US" sz="28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5358040.44</a:t>
            </a:fld>
            <a:endParaRPr lang="en-US" sz="28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94A29455-82FA-452E-8DB9-133D357CD0DA}"/>
              </a:ext>
            </a:extLst>
          </xdr:cNvPr>
          <xdr:cNvSpPr txBox="1"/>
        </xdr:nvSpPr>
        <xdr:spPr>
          <a:xfrm>
            <a:off x="12431519" y="6919141"/>
            <a:ext cx="2706730" cy="5232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StdDev of Quantity</a:t>
            </a:r>
            <a:r>
              <a:rPr lang="en-US"/>
              <a:t> </a:t>
            </a:r>
            <a:endParaRPr lang="en-US" sz="1100"/>
          </a:p>
        </xdr:txBody>
      </xdr:sp>
    </xdr:grpSp>
    <xdr:clientData/>
  </xdr:twoCellAnchor>
  <xdr:twoCellAnchor>
    <xdr:from>
      <xdr:col>19</xdr:col>
      <xdr:colOff>54429</xdr:colOff>
      <xdr:row>43</xdr:row>
      <xdr:rowOff>137992</xdr:rowOff>
    </xdr:from>
    <xdr:to>
      <xdr:col>27</xdr:col>
      <xdr:colOff>-1</xdr:colOff>
      <xdr:row>50</xdr:row>
      <xdr:rowOff>108858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8003FA0D-F864-475C-BC6E-B4F97ADB7055}"/>
            </a:ext>
          </a:extLst>
        </xdr:cNvPr>
        <xdr:cNvGrpSpPr/>
      </xdr:nvGrpSpPr>
      <xdr:grpSpPr>
        <a:xfrm>
          <a:off x="11430000" y="8601635"/>
          <a:ext cx="4735285" cy="1304366"/>
          <a:chOff x="11511224" y="7875197"/>
          <a:chExt cx="4040781" cy="1537367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99510BD2-C4F9-422E-BBE0-06D8571C7157}"/>
              </a:ext>
            </a:extLst>
          </xdr:cNvPr>
          <xdr:cNvSpPr/>
        </xdr:nvSpPr>
        <xdr:spPr>
          <a:xfrm>
            <a:off x="11511224" y="7875197"/>
            <a:ext cx="4040781" cy="1537367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EB60D69E-FFD1-4083-A075-A14BD5466466}"/>
              </a:ext>
            </a:extLst>
          </xdr:cNvPr>
          <xdr:cNvGrpSpPr/>
        </xdr:nvGrpSpPr>
        <xdr:grpSpPr>
          <a:xfrm>
            <a:off x="12493743" y="7913720"/>
            <a:ext cx="2388652" cy="1304932"/>
            <a:chOff x="12493743" y="7913720"/>
            <a:chExt cx="2388652" cy="1304932"/>
          </a:xfrm>
        </xdr:grpSpPr>
        <xdr:sp macro="" textlink="'Pivot Table 1'!A75">
          <xdr:nvSpPr>
            <xdr:cNvPr id="23" name="TextBox 22">
              <a:extLst>
                <a:ext uri="{FF2B5EF4-FFF2-40B4-BE49-F238E27FC236}">
                  <a16:creationId xmlns:a16="http://schemas.microsoft.com/office/drawing/2014/main" id="{10FDFC83-2F9A-49FC-9BEE-B4559822589F}"/>
                </a:ext>
              </a:extLst>
            </xdr:cNvPr>
            <xdr:cNvSpPr txBox="1"/>
          </xdr:nvSpPr>
          <xdr:spPr>
            <a:xfrm>
              <a:off x="12628018" y="8586070"/>
              <a:ext cx="1869975" cy="63258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4224F122-A8CC-4BA3-8BDE-289A3651F9D6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/>
                <a:t>5358040.44</a:t>
              </a:fld>
              <a:endParaRPr lang="en-US" sz="2800"/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5414A6D-FDF7-4639-B0D2-FE85FA330056}"/>
                </a:ext>
              </a:extLst>
            </xdr:cNvPr>
            <xdr:cNvSpPr txBox="1"/>
          </xdr:nvSpPr>
          <xdr:spPr>
            <a:xfrm>
              <a:off x="12493743" y="7913720"/>
              <a:ext cx="2388652" cy="68885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Var of Revenue</a:t>
              </a:r>
              <a:r>
                <a:rPr lang="en-US"/>
                <a:t> </a:t>
              </a:r>
              <a:endParaRPr lang="en-US" sz="1100"/>
            </a:p>
          </xdr:txBody>
        </xdr:sp>
      </xdr:grpSp>
    </xdr:grpSp>
    <xdr:clientData/>
  </xdr:twoCellAnchor>
  <xdr:twoCellAnchor>
    <xdr:from>
      <xdr:col>19</xdr:col>
      <xdr:colOff>64942</xdr:colOff>
      <xdr:row>35</xdr:row>
      <xdr:rowOff>66844</xdr:rowOff>
    </xdr:from>
    <xdr:to>
      <xdr:col>27</xdr:col>
      <xdr:colOff>0</xdr:colOff>
      <xdr:row>43</xdr:row>
      <xdr:rowOff>81644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9CE8DFEB-77EC-42DA-B254-D23D7F4ED7BE}"/>
            </a:ext>
          </a:extLst>
        </xdr:cNvPr>
        <xdr:cNvGrpSpPr/>
      </xdr:nvGrpSpPr>
      <xdr:grpSpPr>
        <a:xfrm>
          <a:off x="11440513" y="7006487"/>
          <a:ext cx="4724773" cy="1538800"/>
          <a:chOff x="11567828" y="10109313"/>
          <a:chExt cx="4161520" cy="1791181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C5BA452B-D216-4FE2-9064-32BEBFF1D2BD}"/>
              </a:ext>
            </a:extLst>
          </xdr:cNvPr>
          <xdr:cNvSpPr/>
        </xdr:nvSpPr>
        <xdr:spPr>
          <a:xfrm>
            <a:off x="11567828" y="10109313"/>
            <a:ext cx="4161520" cy="1791181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6278FF35-85A3-41AF-8D75-C6A23F445851}"/>
              </a:ext>
            </a:extLst>
          </xdr:cNvPr>
          <xdr:cNvGrpSpPr/>
        </xdr:nvGrpSpPr>
        <xdr:grpSpPr>
          <a:xfrm>
            <a:off x="12533112" y="10119514"/>
            <a:ext cx="2258745" cy="1040294"/>
            <a:chOff x="12569516" y="10330763"/>
            <a:chExt cx="2267218" cy="1063511"/>
          </a:xfrm>
        </xdr:grpSpPr>
        <xdr:sp macro="" textlink="'Pivot Table 1'!A78">
          <xdr:nvSpPr>
            <xdr:cNvPr id="27" name="TextBox 26">
              <a:extLst>
                <a:ext uri="{FF2B5EF4-FFF2-40B4-BE49-F238E27FC236}">
                  <a16:creationId xmlns:a16="http://schemas.microsoft.com/office/drawing/2014/main" id="{3C6D670C-5E61-45BF-B803-DA0E91962869}"/>
                </a:ext>
              </a:extLst>
            </xdr:cNvPr>
            <xdr:cNvSpPr txBox="1"/>
          </xdr:nvSpPr>
          <xdr:spPr>
            <a:xfrm>
              <a:off x="12713285" y="10946173"/>
              <a:ext cx="1929188" cy="448101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DAA31CF9-C3E2-446C-924F-E7DA25CDA817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/>
                <a:t>43389.43</a:t>
              </a:fld>
              <a:endParaRPr lang="en-US" sz="2800"/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F5F7C296-DE3D-4EBE-94DF-CBAC9B562F83}"/>
                </a:ext>
              </a:extLst>
            </xdr:cNvPr>
            <xdr:cNvSpPr txBox="1"/>
          </xdr:nvSpPr>
          <xdr:spPr>
            <a:xfrm>
              <a:off x="12569516" y="10330763"/>
              <a:ext cx="2267218" cy="66452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Var of Quantity</a:t>
              </a:r>
              <a:r>
                <a:rPr lang="en-US"/>
                <a:t> </a:t>
              </a:r>
              <a:endParaRPr lang="en-US" sz="1100"/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65.234981828704" createdVersion="7" refreshedVersion="7" minRefreshableVersion="3" recordCount="15" xr:uid="{00000000-000A-0000-FFFF-FFFF28000000}">
  <cacheSource type="worksheet">
    <worksheetSource name="Table1"/>
  </cacheSource>
  <cacheFields count="11">
    <cacheField name="Order ID" numFmtId="0">
      <sharedItems containsSemiMixedTypes="0" containsString="0" containsNumber="1" containsInteger="1" minValue="10452" maxValue="10467"/>
    </cacheField>
    <cacheField name="Date" numFmtId="14">
      <sharedItems containsSemiMixedTypes="0" containsNonDate="0" containsDate="1" containsString="0" minDate="2022-07-11T00:00:00" maxDate="2022-10-12T00:00:00" count="4">
        <d v="2022-07-11T00:00:00"/>
        <d v="2022-08-11T00:00:00"/>
        <d v="2022-09-11T00:00:00"/>
        <d v="2022-10-11T00:00:00"/>
      </sharedItems>
      <fieldGroup par="10" base="1">
        <rangePr groupBy="days" startDate="2022-07-11T00:00:00" endDate="2022-10-12T00:00:00"/>
        <groupItems count="368">
          <s v="&lt;7/11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12/2022"/>
        </groupItems>
      </fieldGroup>
    </cacheField>
    <cacheField name="Product" numFmtId="0">
      <sharedItems count="5">
        <s v="Fries"/>
        <s v="Beverages"/>
        <s v="Sides &amp; Other"/>
        <s v="Burgers"/>
        <s v="Chicken Sandwiches"/>
      </sharedItems>
    </cacheField>
    <cacheField name="Price" numFmtId="0">
      <sharedItems containsSemiMixedTypes="0" containsString="0" containsNumber="1" minValue="2.95" maxValue="12.99"/>
    </cacheField>
    <cacheField name="Quantity" numFmtId="0">
      <sharedItems containsSemiMixedTypes="0" containsString="0" containsNumber="1" minValue="200.4" maxValue="745.76"/>
    </cacheField>
    <cacheField name="Purchase Type" numFmtId="0">
      <sharedItems/>
    </cacheField>
    <cacheField name="Payment Method" numFmtId="0">
      <sharedItems count="2">
        <s v=" Gift Card"/>
        <s v=" Credit Card"/>
      </sharedItems>
    </cacheField>
    <cacheField name="Revenue" numFmtId="2">
      <sharedItems containsSemiMixedTypes="0" containsString="0" containsNumber="1" minValue="999.99600000000009" maxValue="7400.0132999999996" count="7">
        <n v="2000.0143000000003"/>
        <n v="2199.9920000000002"/>
        <n v="999.99600000000009"/>
        <n v="7400.0132999999996"/>
        <n v="2000.0494999999999"/>
        <n v="7199.9673000000003"/>
        <n v="2000.0115000000003"/>
      </sharedItems>
    </cacheField>
    <cacheField name="Manager" numFmtId="0">
      <sharedItems count="5">
        <s v="Tom Jackson"/>
        <s v="Pablo Perez"/>
        <s v="Joao Silva"/>
        <s v="Walter Muller"/>
        <s v="Remy Monet"/>
      </sharedItems>
    </cacheField>
    <cacheField name="City" numFmtId="0">
      <sharedItems count="5">
        <s v="London"/>
        <s v="Madrid"/>
        <s v="Lisbon"/>
        <s v="Berlin"/>
        <s v="Paris"/>
      </sharedItems>
    </cacheField>
    <cacheField name="Months" numFmtId="0" databaseField="0">
      <fieldGroup base="1">
        <rangePr groupBy="months" startDate="2022-07-11T00:00:00" endDate="2022-10-12T00:00:00"/>
        <groupItems count="14">
          <s v="&lt;7/1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n v="10452"/>
    <x v="0"/>
    <x v="0"/>
    <n v="3.49"/>
    <n v="573.07000000000005"/>
    <s v="Online "/>
    <x v="0"/>
    <x v="0"/>
    <x v="0"/>
    <x v="0"/>
  </r>
  <r>
    <n v="10453"/>
    <x v="0"/>
    <x v="1"/>
    <n v="2.95"/>
    <n v="745.76"/>
    <s v="Online "/>
    <x v="0"/>
    <x v="1"/>
    <x v="1"/>
    <x v="1"/>
  </r>
  <r>
    <n v="10454"/>
    <x v="0"/>
    <x v="2"/>
    <n v="4.99"/>
    <n v="200.4"/>
    <s v="In-store "/>
    <x v="0"/>
    <x v="2"/>
    <x v="2"/>
    <x v="2"/>
  </r>
  <r>
    <n v="10455"/>
    <x v="1"/>
    <x v="3"/>
    <n v="12.99"/>
    <n v="569.66999999999996"/>
    <s v="In-store "/>
    <x v="1"/>
    <x v="3"/>
    <x v="3"/>
    <x v="3"/>
  </r>
  <r>
    <n v="10456"/>
    <x v="1"/>
    <x v="4"/>
    <n v="9.9499999999999993"/>
    <n v="201.01"/>
    <s v="In-store "/>
    <x v="1"/>
    <x v="4"/>
    <x v="3"/>
    <x v="3"/>
  </r>
  <r>
    <n v="10457"/>
    <x v="1"/>
    <x v="0"/>
    <n v="3.49"/>
    <n v="573.07000000000005"/>
    <s v="In-store "/>
    <x v="1"/>
    <x v="0"/>
    <x v="4"/>
    <x v="4"/>
  </r>
  <r>
    <n v="10459"/>
    <x v="1"/>
    <x v="2"/>
    <n v="4.99"/>
    <n v="200.4"/>
    <s v="In-store "/>
    <x v="1"/>
    <x v="2"/>
    <x v="3"/>
    <x v="3"/>
  </r>
  <r>
    <n v="10460"/>
    <x v="2"/>
    <x v="3"/>
    <n v="12.99"/>
    <n v="554.27"/>
    <s v="In-store "/>
    <x v="1"/>
    <x v="5"/>
    <x v="4"/>
    <x v="4"/>
  </r>
  <r>
    <n v="10461"/>
    <x v="2"/>
    <x v="4"/>
    <n v="9.9499999999999993"/>
    <n v="201.01"/>
    <s v="In-store "/>
    <x v="1"/>
    <x v="4"/>
    <x v="4"/>
    <x v="4"/>
  </r>
  <r>
    <n v="10462"/>
    <x v="2"/>
    <x v="0"/>
    <n v="3.49"/>
    <n v="573.07000000000005"/>
    <s v="In-store "/>
    <x v="1"/>
    <x v="0"/>
    <x v="4"/>
    <x v="4"/>
  </r>
  <r>
    <n v="10463"/>
    <x v="2"/>
    <x v="1"/>
    <n v="2.95"/>
    <n v="677.97"/>
    <s v="In-store "/>
    <x v="1"/>
    <x v="6"/>
    <x v="4"/>
    <x v="4"/>
  </r>
  <r>
    <n v="10464"/>
    <x v="2"/>
    <x v="2"/>
    <n v="4.99"/>
    <n v="200.4"/>
    <s v="In-store "/>
    <x v="1"/>
    <x v="2"/>
    <x v="4"/>
    <x v="4"/>
  </r>
  <r>
    <n v="10465"/>
    <x v="3"/>
    <x v="3"/>
    <n v="12.99"/>
    <n v="554.27"/>
    <s v="In-store "/>
    <x v="1"/>
    <x v="5"/>
    <x v="1"/>
    <x v="1"/>
  </r>
  <r>
    <n v="10466"/>
    <x v="3"/>
    <x v="4"/>
    <n v="9.9499999999999993"/>
    <n v="201.01"/>
    <s v="In-store "/>
    <x v="1"/>
    <x v="4"/>
    <x v="1"/>
    <x v="1"/>
  </r>
  <r>
    <n v="10467"/>
    <x v="3"/>
    <x v="0"/>
    <n v="3.49"/>
    <n v="573.07000000000005"/>
    <s v="In-store "/>
    <x v="1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6">
  <location ref="A50:B55" firstHeaderRow="1" firstDataRow="1" firstDataCol="1"/>
  <pivotFields count="11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1"/>
  </rowFields>
  <rowItems count="5"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Revenue by date" fld="7" baseField="10" baseItem="7" numFmtId="2"/>
  </dataFields>
  <formats count="1">
    <format dxfId="2">
      <pivotArea outline="0" collapsedLevelsAreSubtotals="1" fieldPosition="0"/>
    </format>
  </formats>
  <chartFormats count="4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6" firstHeaderRow="1" firstDataRow="1" firstDataCol="1"/>
  <pivotFields count="11">
    <pivotField dataField="1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2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Payment Methods" fld="0" subtotal="count" baseField="6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20:B26" firstHeaderRow="1" firstDataRow="1" firstDataCol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duct by Revenue" fld="7" baseField="2" baseItem="0" numFmtId="2"/>
  </dataFields>
  <formats count="1">
    <format dxfId="3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A00000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9:A60" firstHeaderRow="1" firstDataRow="1" firstDataCol="0"/>
  <pivotFields count="11">
    <pivotField showAll="0"/>
    <pivotField numFmtId="14" showAll="0"/>
    <pivotField showAll="0"/>
    <pivotField showAll="0"/>
    <pivotField showAll="0"/>
    <pivotField showAll="0"/>
    <pivotField showAll="0"/>
    <pivotField dataField="1" numFmtId="2" showAll="0">
      <items count="8">
        <item x="2"/>
        <item x="6"/>
        <item x="0"/>
        <item x="4"/>
        <item x="1"/>
        <item x="5"/>
        <item x="3"/>
        <item t="default"/>
      </items>
    </pivotField>
    <pivotField showAll="0"/>
    <pivotField showAll="0"/>
    <pivotField showAll="0" defaultSubtotal="0"/>
  </pivotFields>
  <rowItems count="1">
    <i/>
  </rowItems>
  <colItems count="1">
    <i/>
  </colItems>
  <dataFields count="1">
    <dataField name="Average Revenue" fld="7" subtotal="average" baseField="0" baseItem="56557568" numFmtId="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80:B86" firstHeaderRow="1" firstDataRow="1" firstDataCol="1"/>
  <pivotFields count="11">
    <pivotField showAll="0"/>
    <pivotField numFmtId="14"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dataField="1" showAll="0"/>
    <pivotField showAll="0"/>
    <pivotField showAll="0"/>
    <pivotField numFmtId="2" showAll="0"/>
    <pivotField showAll="0"/>
    <pivotField showAll="0"/>
    <pivotField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Quantity" fld="4" subtotal="average" baseField="2" baseItem="0" numFmtId="2"/>
  </dataFields>
  <formats count="1">
    <format dxfId="5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40:B46" firstHeaderRow="1" firstDataRow="1" firstDataCol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axis="axisRow" showAll="0">
      <items count="6">
        <item x="2"/>
        <item x="1"/>
        <item x="4"/>
        <item x="0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 by Manager" fld="7" baseField="8" baseItem="0" numFmtId="2"/>
  </dataFields>
  <formats count="1">
    <format dxfId="6">
      <pivotArea outline="0" collapsedLevelsAreSubtotals="1" fieldPosition="0"/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2:A73" firstHeaderRow="1" firstDataRow="1" firstDataCol="0"/>
  <pivotFields count="11">
    <pivotField showAll="0"/>
    <pivotField numFmtId="14"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 defaultSubtotal="0"/>
  </pivotFields>
  <rowItems count="1">
    <i/>
  </rowItems>
  <colItems count="1">
    <i/>
  </colItems>
  <dataFields count="1">
    <dataField name="Var of Revenue" fld="7" subtotal="var" baseField="0" baseItem="56557568" numFmtId="2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C000000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68:A69" firstHeaderRow="1" firstDataRow="1" firstDataCol="0"/>
  <pivotFields count="11">
    <pivotField showAll="0"/>
    <pivotField numFmtId="14" showAll="0"/>
    <pivotField showAll="0"/>
    <pivotField showAll="0"/>
    <pivotField dataField="1" showAll="0"/>
    <pivotField showAll="0"/>
    <pivotField showAll="0"/>
    <pivotField numFmtId="2" showAll="0"/>
    <pivotField showAll="0"/>
    <pivotField showAll="0"/>
    <pivotField showAll="0" defaultSubtotal="0"/>
  </pivotFields>
  <rowItems count="1">
    <i/>
  </rowItems>
  <colItems count="1">
    <i/>
  </colItems>
  <dataFields count="1">
    <dataField name="StdDev of Quantity" fld="4" subtotal="stdDev" baseField="0" baseItem="56557568" numFmtId="2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0:B16" firstHeaderRow="1" firstDataRow="1" firstDataCol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dataField="1" showAll="0"/>
    <pivotField showAll="0"/>
    <pivotField showAll="0"/>
    <pivotField numFmtId="2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duct by Quantity" fld="4" baseField="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0:B36" firstHeaderRow="1" firstDataRow="1" firstDataCol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Revenue by City" fld="7" baseField="9" baseItem="0"/>
  </dataFields>
  <formats count="1">
    <format dxfId="9">
      <pivotArea collapsedLevelsAreSubtotals="1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90:B96" firstHeaderRow="1" firstDataRow="1" firstDataCol="1"/>
  <pivotFields count="11">
    <pivotField showAll="0"/>
    <pivotField numFmtId="14"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showAll="0"/>
    <pivotField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evenue" fld="7" subtotal="average" baseField="2" baseItem="0" numFmtId="2"/>
  </dataFields>
  <formats count="1">
    <format dxfId="10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B00000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63:A64" firstHeaderRow="1" firstDataRow="1" firstDataCol="0"/>
  <pivotFields count="11">
    <pivotField showAll="0"/>
    <pivotField numFmtId="14"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 defaultSubtotal="0"/>
  </pivotFields>
  <rowItems count="1">
    <i/>
  </rowItems>
  <colItems count="1">
    <i/>
  </colItems>
  <dataFields count="1">
    <dataField name="StdDev of Revenue" fld="7" subtotal="stdDev" baseField="0" baseItem="56557568" numFmtId="2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6:A77" firstHeaderRow="1" firstDataRow="1" firstDataCol="0"/>
  <pivotFields count="11">
    <pivotField showAll="0"/>
    <pivotField numFmtId="14" showAll="0"/>
    <pivotField showAll="0"/>
    <pivotField showAll="0"/>
    <pivotField dataField="1" showAll="0"/>
    <pivotField showAll="0"/>
    <pivotField showAll="0"/>
    <pivotField numFmtId="2" showAll="0"/>
    <pivotField showAll="0"/>
    <pivotField showAll="0"/>
    <pivotField showAll="0" defaultSubtotal="0"/>
  </pivotFields>
  <rowItems count="1">
    <i/>
  </rowItems>
  <colItems count="1">
    <i/>
  </colItems>
  <dataFields count="1">
    <dataField name="Var of Quantity" fld="4" subtotal="var" baseField="0" baseItem="565575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6" totalsRowShown="0">
  <autoFilter ref="A1:J16" xr:uid="{00000000-0009-0000-0100-000001000000}"/>
  <tableColumns count="10">
    <tableColumn id="1" xr3:uid="{00000000-0010-0000-0000-000001000000}" name="Order ID"/>
    <tableColumn id="2" xr3:uid="{00000000-0010-0000-0000-000002000000}" name="Date" dataDxfId="1"/>
    <tableColumn id="3" xr3:uid="{00000000-0010-0000-0000-000003000000}" name="Product"/>
    <tableColumn id="4" xr3:uid="{00000000-0010-0000-0000-000004000000}" name="Price"/>
    <tableColumn id="5" xr3:uid="{00000000-0010-0000-0000-000005000000}" name="Quantity"/>
    <tableColumn id="6" xr3:uid="{00000000-0010-0000-0000-000006000000}" name="Purchase Type"/>
    <tableColumn id="7" xr3:uid="{00000000-0010-0000-0000-000007000000}" name="Payment Method"/>
    <tableColumn id="16" xr3:uid="{00000000-0010-0000-0000-000010000000}" name="Revenue" dataDxfId="0">
      <calculatedColumnFormula>PRODUCT(Table1[[#This Row],[Quantity]],Table1[[#This Row],[Price]])</calculatedColumnFormula>
    </tableColumn>
    <tableColumn id="15" xr3:uid="{00000000-0010-0000-0000-00000F000000}" name="Manager"/>
    <tableColumn id="9" xr3:uid="{00000000-0010-0000-0000-000009000000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96"/>
  <sheetViews>
    <sheetView topLeftCell="A74" workbookViewId="0">
      <selection activeCell="A75" sqref="A75"/>
    </sheetView>
  </sheetViews>
  <sheetFormatPr defaultRowHeight="15" x14ac:dyDescent="0.25"/>
  <cols>
    <col min="1" max="2" width="19.140625" bestFit="1" customWidth="1"/>
  </cols>
  <sheetData>
    <row r="3" spans="1:2" x14ac:dyDescent="0.25">
      <c r="A3" s="4" t="s">
        <v>28</v>
      </c>
      <c r="B3" t="s">
        <v>30</v>
      </c>
    </row>
    <row r="4" spans="1:2" x14ac:dyDescent="0.25">
      <c r="A4" s="5" t="s">
        <v>19</v>
      </c>
      <c r="B4">
        <v>12</v>
      </c>
    </row>
    <row r="5" spans="1:2" x14ac:dyDescent="0.25">
      <c r="A5" s="5" t="s">
        <v>11</v>
      </c>
      <c r="B5">
        <v>3</v>
      </c>
    </row>
    <row r="6" spans="1:2" x14ac:dyDescent="0.25">
      <c r="A6" s="5" t="s">
        <v>29</v>
      </c>
      <c r="B6">
        <v>15</v>
      </c>
    </row>
    <row r="10" spans="1:2" x14ac:dyDescent="0.25">
      <c r="A10" s="4" t="s">
        <v>28</v>
      </c>
      <c r="B10" t="s">
        <v>31</v>
      </c>
    </row>
    <row r="11" spans="1:2" x14ac:dyDescent="0.25">
      <c r="A11" s="5" t="s">
        <v>13</v>
      </c>
      <c r="B11">
        <v>1423.73</v>
      </c>
    </row>
    <row r="12" spans="1:2" x14ac:dyDescent="0.25">
      <c r="A12" s="5" t="s">
        <v>18</v>
      </c>
      <c r="B12">
        <v>1678.21</v>
      </c>
    </row>
    <row r="13" spans="1:2" x14ac:dyDescent="0.25">
      <c r="A13" s="5" t="s">
        <v>22</v>
      </c>
      <c r="B13">
        <v>603.03</v>
      </c>
    </row>
    <row r="14" spans="1:2" x14ac:dyDescent="0.25">
      <c r="A14" s="5" t="s">
        <v>9</v>
      </c>
      <c r="B14">
        <v>2292.2800000000002</v>
      </c>
    </row>
    <row r="15" spans="1:2" x14ac:dyDescent="0.25">
      <c r="A15" s="5" t="s">
        <v>15</v>
      </c>
      <c r="B15">
        <v>601.20000000000005</v>
      </c>
    </row>
    <row r="16" spans="1:2" x14ac:dyDescent="0.25">
      <c r="A16" s="5" t="s">
        <v>29</v>
      </c>
      <c r="B16">
        <v>6598.45</v>
      </c>
    </row>
    <row r="20" spans="1:2" x14ac:dyDescent="0.25">
      <c r="A20" s="4" t="s">
        <v>28</v>
      </c>
      <c r="B20" t="s">
        <v>33</v>
      </c>
    </row>
    <row r="21" spans="1:2" x14ac:dyDescent="0.25">
      <c r="A21" s="5" t="s">
        <v>13</v>
      </c>
      <c r="B21" s="6">
        <v>4200.0035000000007</v>
      </c>
    </row>
    <row r="22" spans="1:2" x14ac:dyDescent="0.25">
      <c r="A22" s="5" t="s">
        <v>18</v>
      </c>
      <c r="B22" s="6">
        <v>21799.947899999999</v>
      </c>
    </row>
    <row r="23" spans="1:2" x14ac:dyDescent="0.25">
      <c r="A23" s="5" t="s">
        <v>22</v>
      </c>
      <c r="B23" s="6">
        <v>6000.1484999999993</v>
      </c>
    </row>
    <row r="24" spans="1:2" x14ac:dyDescent="0.25">
      <c r="A24" s="5" t="s">
        <v>9</v>
      </c>
      <c r="B24" s="6">
        <v>8000.0572000000011</v>
      </c>
    </row>
    <row r="25" spans="1:2" x14ac:dyDescent="0.25">
      <c r="A25" s="5" t="s">
        <v>15</v>
      </c>
      <c r="B25" s="6">
        <v>2999.9880000000003</v>
      </c>
    </row>
    <row r="26" spans="1:2" x14ac:dyDescent="0.25">
      <c r="A26" s="5" t="s">
        <v>29</v>
      </c>
      <c r="B26" s="6">
        <v>43000.145099999994</v>
      </c>
    </row>
    <row r="30" spans="1:2" x14ac:dyDescent="0.25">
      <c r="A30" s="4" t="s">
        <v>28</v>
      </c>
      <c r="B30" t="s">
        <v>34</v>
      </c>
    </row>
    <row r="31" spans="1:2" x14ac:dyDescent="0.25">
      <c r="A31" s="5" t="s">
        <v>21</v>
      </c>
      <c r="B31" s="6">
        <v>10400.058799999999</v>
      </c>
    </row>
    <row r="32" spans="1:2" x14ac:dyDescent="0.25">
      <c r="A32" s="5" t="s">
        <v>17</v>
      </c>
      <c r="B32" s="6">
        <v>999.99600000000009</v>
      </c>
    </row>
    <row r="33" spans="1:2" x14ac:dyDescent="0.25">
      <c r="A33" s="5" t="s">
        <v>12</v>
      </c>
      <c r="B33" s="6">
        <v>2000.0143000000003</v>
      </c>
    </row>
    <row r="34" spans="1:2" x14ac:dyDescent="0.25">
      <c r="A34" s="5" t="s">
        <v>14</v>
      </c>
      <c r="B34" s="6">
        <v>13400.0231</v>
      </c>
    </row>
    <row r="35" spans="1:2" x14ac:dyDescent="0.25">
      <c r="A35" s="5" t="s">
        <v>23</v>
      </c>
      <c r="B35" s="6">
        <v>16200.052900000002</v>
      </c>
    </row>
    <row r="36" spans="1:2" x14ac:dyDescent="0.25">
      <c r="A36" s="5" t="s">
        <v>29</v>
      </c>
      <c r="B36">
        <v>43000.145100000002</v>
      </c>
    </row>
    <row r="40" spans="1:2" x14ac:dyDescent="0.25">
      <c r="A40" s="4" t="s">
        <v>28</v>
      </c>
      <c r="B40" t="s">
        <v>35</v>
      </c>
    </row>
    <row r="41" spans="1:2" x14ac:dyDescent="0.25">
      <c r="A41" s="5" t="s">
        <v>27</v>
      </c>
      <c r="B41" s="6">
        <v>999.99600000000009</v>
      </c>
    </row>
    <row r="42" spans="1:2" x14ac:dyDescent="0.25">
      <c r="A42" s="5" t="s">
        <v>25</v>
      </c>
      <c r="B42" s="6">
        <v>13400.0231</v>
      </c>
    </row>
    <row r="43" spans="1:2" x14ac:dyDescent="0.25">
      <c r="A43" s="5" t="s">
        <v>24</v>
      </c>
      <c r="B43" s="6">
        <v>16200.052900000002</v>
      </c>
    </row>
    <row r="44" spans="1:2" x14ac:dyDescent="0.25">
      <c r="A44" s="5" t="s">
        <v>26</v>
      </c>
      <c r="B44" s="6">
        <v>2000.0143000000003</v>
      </c>
    </row>
    <row r="45" spans="1:2" x14ac:dyDescent="0.25">
      <c r="A45" s="5" t="s">
        <v>20</v>
      </c>
      <c r="B45" s="6">
        <v>10400.058799999999</v>
      </c>
    </row>
    <row r="46" spans="1:2" x14ac:dyDescent="0.25">
      <c r="A46" s="5" t="s">
        <v>29</v>
      </c>
      <c r="B46" s="6">
        <v>43000.145100000002</v>
      </c>
    </row>
    <row r="50" spans="1:2" x14ac:dyDescent="0.25">
      <c r="A50" s="4" t="s">
        <v>28</v>
      </c>
      <c r="B50" t="s">
        <v>40</v>
      </c>
    </row>
    <row r="51" spans="1:2" x14ac:dyDescent="0.25">
      <c r="A51" s="5" t="s">
        <v>36</v>
      </c>
      <c r="B51" s="6">
        <v>5200.002300000001</v>
      </c>
    </row>
    <row r="52" spans="1:2" x14ac:dyDescent="0.25">
      <c r="A52" s="5" t="s">
        <v>37</v>
      </c>
      <c r="B52" s="6">
        <v>12400.073100000001</v>
      </c>
    </row>
    <row r="53" spans="1:2" x14ac:dyDescent="0.25">
      <c r="A53" s="5" t="s">
        <v>38</v>
      </c>
      <c r="B53" s="6">
        <v>14200.0386</v>
      </c>
    </row>
    <row r="54" spans="1:2" x14ac:dyDescent="0.25">
      <c r="A54" s="5" t="s">
        <v>39</v>
      </c>
      <c r="B54" s="6">
        <v>11200.0311</v>
      </c>
    </row>
    <row r="55" spans="1:2" x14ac:dyDescent="0.25">
      <c r="A55" s="5" t="s">
        <v>29</v>
      </c>
      <c r="B55" s="6">
        <v>43000.145100000002</v>
      </c>
    </row>
    <row r="59" spans="1:2" x14ac:dyDescent="0.25">
      <c r="A59" t="s">
        <v>41</v>
      </c>
    </row>
    <row r="60" spans="1:2" x14ac:dyDescent="0.25">
      <c r="A60" s="6">
        <v>2866.67634</v>
      </c>
    </row>
    <row r="61" spans="1:2" x14ac:dyDescent="0.25">
      <c r="A61" s="9">
        <f>GETPIVOTDATA("Revenue",$A$59)</f>
        <v>2866.67634</v>
      </c>
    </row>
    <row r="63" spans="1:2" x14ac:dyDescent="0.25">
      <c r="A63" t="s">
        <v>42</v>
      </c>
    </row>
    <row r="64" spans="1:2" x14ac:dyDescent="0.25">
      <c r="A64" s="6">
        <v>2314.7441406895359</v>
      </c>
    </row>
    <row r="65" spans="1:2" x14ac:dyDescent="0.25">
      <c r="A65" s="9">
        <f>GETPIVOTDATA("Revenue",$A$63)</f>
        <v>2314.7441406895359</v>
      </c>
    </row>
    <row r="68" spans="1:2" x14ac:dyDescent="0.25">
      <c r="A68" t="s">
        <v>43</v>
      </c>
    </row>
    <row r="69" spans="1:2" x14ac:dyDescent="0.25">
      <c r="A69" s="6">
        <v>208.30128470444899</v>
      </c>
    </row>
    <row r="70" spans="1:2" x14ac:dyDescent="0.25">
      <c r="A70" s="9">
        <f>GETPIVOTDATA("Quantity",A68)</f>
        <v>208.30128470444899</v>
      </c>
    </row>
    <row r="72" spans="1:2" x14ac:dyDescent="0.25">
      <c r="A72" t="s">
        <v>44</v>
      </c>
    </row>
    <row r="73" spans="1:2" x14ac:dyDescent="0.25">
      <c r="A73" s="6">
        <v>5358040.4368565371</v>
      </c>
    </row>
    <row r="74" spans="1:2" x14ac:dyDescent="0.25">
      <c r="A74" s="9"/>
    </row>
    <row r="75" spans="1:2" x14ac:dyDescent="0.25">
      <c r="A75" s="6">
        <f>GETPIVOTDATA("Revenue",$A$72)</f>
        <v>5358040.4368565371</v>
      </c>
    </row>
    <row r="76" spans="1:2" x14ac:dyDescent="0.25">
      <c r="A76" t="s">
        <v>45</v>
      </c>
      <c r="B76" s="7"/>
    </row>
    <row r="77" spans="1:2" x14ac:dyDescent="0.25">
      <c r="A77">
        <v>43389.425209523914</v>
      </c>
    </row>
    <row r="78" spans="1:2" x14ac:dyDescent="0.25">
      <c r="A78" s="6">
        <f>GETPIVOTDATA("Quantity",$A$76)</f>
        <v>43389.425209523914</v>
      </c>
    </row>
    <row r="80" spans="1:2" x14ac:dyDescent="0.25">
      <c r="A80" s="4" t="s">
        <v>28</v>
      </c>
      <c r="B80" t="s">
        <v>46</v>
      </c>
    </row>
    <row r="81" spans="1:2" x14ac:dyDescent="0.25">
      <c r="A81" s="5" t="s">
        <v>13</v>
      </c>
      <c r="B81" s="6">
        <v>711.86500000000001</v>
      </c>
    </row>
    <row r="82" spans="1:2" x14ac:dyDescent="0.25">
      <c r="A82" s="5" t="s">
        <v>18</v>
      </c>
      <c r="B82" s="6">
        <v>559.40333333333331</v>
      </c>
    </row>
    <row r="83" spans="1:2" x14ac:dyDescent="0.25">
      <c r="A83" s="5" t="s">
        <v>22</v>
      </c>
      <c r="B83" s="6">
        <v>201.01</v>
      </c>
    </row>
    <row r="84" spans="1:2" x14ac:dyDescent="0.25">
      <c r="A84" s="5" t="s">
        <v>9</v>
      </c>
      <c r="B84" s="6">
        <v>573.07000000000005</v>
      </c>
    </row>
    <row r="85" spans="1:2" x14ac:dyDescent="0.25">
      <c r="A85" s="5" t="s">
        <v>15</v>
      </c>
      <c r="B85" s="6">
        <v>200.4</v>
      </c>
    </row>
    <row r="86" spans="1:2" x14ac:dyDescent="0.25">
      <c r="A86" s="5" t="s">
        <v>29</v>
      </c>
      <c r="B86" s="6">
        <v>439.89666666666653</v>
      </c>
    </row>
    <row r="90" spans="1:2" x14ac:dyDescent="0.25">
      <c r="A90" s="4" t="s">
        <v>28</v>
      </c>
      <c r="B90" t="s">
        <v>47</v>
      </c>
    </row>
    <row r="91" spans="1:2" x14ac:dyDescent="0.25">
      <c r="A91" s="5" t="s">
        <v>13</v>
      </c>
      <c r="B91" s="6">
        <v>2100.0017500000004</v>
      </c>
    </row>
    <row r="92" spans="1:2" x14ac:dyDescent="0.25">
      <c r="A92" s="5" t="s">
        <v>18</v>
      </c>
      <c r="B92" s="6">
        <v>7266.6493</v>
      </c>
    </row>
    <row r="93" spans="1:2" x14ac:dyDescent="0.25">
      <c r="A93" s="5" t="s">
        <v>22</v>
      </c>
      <c r="B93" s="6">
        <v>2000.0494999999999</v>
      </c>
    </row>
    <row r="94" spans="1:2" x14ac:dyDescent="0.25">
      <c r="A94" s="5" t="s">
        <v>9</v>
      </c>
      <c r="B94" s="6">
        <v>2000.0143000000003</v>
      </c>
    </row>
    <row r="95" spans="1:2" x14ac:dyDescent="0.25">
      <c r="A95" s="5" t="s">
        <v>15</v>
      </c>
      <c r="B95" s="6">
        <v>999.99600000000009</v>
      </c>
    </row>
    <row r="96" spans="1:2" x14ac:dyDescent="0.25">
      <c r="A96" s="5" t="s">
        <v>29</v>
      </c>
      <c r="B96" s="6">
        <v>2866.6763400000004</v>
      </c>
    </row>
  </sheetData>
  <pageMargins left="0.7" right="0.7" top="0.75" bottom="0.75" header="0.3" footer="0.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zoomScale="96" zoomScaleNormal="96" workbookViewId="0">
      <selection activeCell="A2" sqref="A2"/>
    </sheetView>
  </sheetViews>
  <sheetFormatPr defaultRowHeight="15" x14ac:dyDescent="0.25"/>
  <cols>
    <col min="1" max="1" width="10.28515625" customWidth="1"/>
    <col min="2" max="2" width="11.5703125" bestFit="1" customWidth="1"/>
    <col min="3" max="3" width="19.140625" bestFit="1" customWidth="1"/>
    <col min="4" max="4" width="7.28515625" customWidth="1"/>
    <col min="5" max="5" width="10.42578125" customWidth="1"/>
    <col min="6" max="6" width="15.140625" customWidth="1"/>
    <col min="7" max="8" width="17.42578125" customWidth="1"/>
    <col min="9" max="10" width="14.28515625" bestFit="1" customWidth="1"/>
    <col min="11" max="12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7</v>
      </c>
      <c r="J1" t="s">
        <v>8</v>
      </c>
    </row>
    <row r="2" spans="1:10" x14ac:dyDescent="0.25">
      <c r="A2">
        <v>10452</v>
      </c>
      <c r="B2" s="1">
        <v>44753</v>
      </c>
      <c r="C2" t="s">
        <v>9</v>
      </c>
      <c r="D2">
        <v>3.49</v>
      </c>
      <c r="E2">
        <v>573.07000000000005</v>
      </c>
      <c r="F2" t="s">
        <v>10</v>
      </c>
      <c r="G2" t="s">
        <v>11</v>
      </c>
      <c r="H2" s="6">
        <f>PRODUCT(Table1[[#This Row],[Quantity]],Table1[[#This Row],[Price]])</f>
        <v>2000.0143000000003</v>
      </c>
      <c r="I2" t="s">
        <v>26</v>
      </c>
      <c r="J2" t="s">
        <v>12</v>
      </c>
    </row>
    <row r="3" spans="1:10" x14ac:dyDescent="0.25">
      <c r="A3">
        <v>10453</v>
      </c>
      <c r="B3" s="1">
        <v>44753</v>
      </c>
      <c r="C3" t="s">
        <v>13</v>
      </c>
      <c r="D3">
        <v>2.95</v>
      </c>
      <c r="E3">
        <v>745.76</v>
      </c>
      <c r="F3" t="s">
        <v>10</v>
      </c>
      <c r="G3" t="s">
        <v>11</v>
      </c>
      <c r="H3" s="6">
        <f>PRODUCT(Table1[[#This Row],[Quantity]],Table1[[#This Row],[Price]])</f>
        <v>2199.9920000000002</v>
      </c>
      <c r="I3" t="s">
        <v>25</v>
      </c>
      <c r="J3" t="s">
        <v>14</v>
      </c>
    </row>
    <row r="4" spans="1:10" x14ac:dyDescent="0.25">
      <c r="A4">
        <v>10454</v>
      </c>
      <c r="B4" s="1">
        <v>44753</v>
      </c>
      <c r="C4" t="s">
        <v>15</v>
      </c>
      <c r="D4">
        <v>4.99</v>
      </c>
      <c r="E4">
        <v>200.4</v>
      </c>
      <c r="F4" t="s">
        <v>16</v>
      </c>
      <c r="G4" t="s">
        <v>11</v>
      </c>
      <c r="H4" s="6">
        <f>PRODUCT(Table1[[#This Row],[Quantity]],Table1[[#This Row],[Price]])</f>
        <v>999.99600000000009</v>
      </c>
      <c r="I4" t="s">
        <v>27</v>
      </c>
      <c r="J4" t="s">
        <v>17</v>
      </c>
    </row>
    <row r="5" spans="1:10" x14ac:dyDescent="0.25">
      <c r="A5">
        <v>10455</v>
      </c>
      <c r="B5" s="1">
        <v>44784</v>
      </c>
      <c r="C5" t="s">
        <v>18</v>
      </c>
      <c r="D5">
        <v>12.99</v>
      </c>
      <c r="E5">
        <v>569.66999999999996</v>
      </c>
      <c r="F5" t="s">
        <v>16</v>
      </c>
      <c r="G5" t="s">
        <v>19</v>
      </c>
      <c r="H5" s="6">
        <f>PRODUCT(Table1[[#This Row],[Quantity]],Table1[[#This Row],[Price]])</f>
        <v>7400.0132999999996</v>
      </c>
      <c r="I5" t="s">
        <v>20</v>
      </c>
      <c r="J5" t="s">
        <v>21</v>
      </c>
    </row>
    <row r="6" spans="1:10" x14ac:dyDescent="0.25">
      <c r="A6">
        <v>10456</v>
      </c>
      <c r="B6" s="1">
        <v>44784</v>
      </c>
      <c r="C6" t="s">
        <v>22</v>
      </c>
      <c r="D6">
        <v>9.9499999999999993</v>
      </c>
      <c r="E6">
        <v>201.01</v>
      </c>
      <c r="F6" t="s">
        <v>16</v>
      </c>
      <c r="G6" t="s">
        <v>19</v>
      </c>
      <c r="H6" s="6">
        <f>PRODUCT(Table1[[#This Row],[Quantity]],Table1[[#This Row],[Price]])</f>
        <v>2000.0494999999999</v>
      </c>
      <c r="I6" t="s">
        <v>20</v>
      </c>
      <c r="J6" t="s">
        <v>21</v>
      </c>
    </row>
    <row r="7" spans="1:10" x14ac:dyDescent="0.25">
      <c r="A7">
        <v>10457</v>
      </c>
      <c r="B7" s="1">
        <v>44784</v>
      </c>
      <c r="C7" t="s">
        <v>9</v>
      </c>
      <c r="D7">
        <v>3.49</v>
      </c>
      <c r="E7">
        <v>573.07000000000005</v>
      </c>
      <c r="F7" t="s">
        <v>16</v>
      </c>
      <c r="G7" t="s">
        <v>19</v>
      </c>
      <c r="H7" s="6">
        <f>PRODUCT(Table1[[#This Row],[Quantity]],Table1[[#This Row],[Price]])</f>
        <v>2000.0143000000003</v>
      </c>
      <c r="I7" t="s">
        <v>24</v>
      </c>
      <c r="J7" t="s">
        <v>23</v>
      </c>
    </row>
    <row r="8" spans="1:10" x14ac:dyDescent="0.25">
      <c r="A8">
        <v>10459</v>
      </c>
      <c r="B8" s="1">
        <v>44784</v>
      </c>
      <c r="C8" t="s">
        <v>15</v>
      </c>
      <c r="D8">
        <v>4.99</v>
      </c>
      <c r="E8">
        <v>200.4</v>
      </c>
      <c r="F8" t="s">
        <v>16</v>
      </c>
      <c r="G8" t="s">
        <v>19</v>
      </c>
      <c r="H8" s="6">
        <f>PRODUCT(Table1[[#This Row],[Quantity]],Table1[[#This Row],[Price]])</f>
        <v>999.99600000000009</v>
      </c>
      <c r="I8" t="s">
        <v>20</v>
      </c>
      <c r="J8" t="s">
        <v>21</v>
      </c>
    </row>
    <row r="9" spans="1:10" x14ac:dyDescent="0.25">
      <c r="A9">
        <v>10460</v>
      </c>
      <c r="B9" s="1">
        <v>44815</v>
      </c>
      <c r="C9" t="s">
        <v>18</v>
      </c>
      <c r="D9">
        <v>12.99</v>
      </c>
      <c r="E9">
        <v>554.27</v>
      </c>
      <c r="F9" t="s">
        <v>16</v>
      </c>
      <c r="G9" t="s">
        <v>19</v>
      </c>
      <c r="H9" s="6">
        <f>PRODUCT(Table1[[#This Row],[Quantity]],Table1[[#This Row],[Price]])</f>
        <v>7199.9673000000003</v>
      </c>
      <c r="I9" t="s">
        <v>24</v>
      </c>
      <c r="J9" t="s">
        <v>23</v>
      </c>
    </row>
    <row r="10" spans="1:10" x14ac:dyDescent="0.25">
      <c r="A10">
        <v>10461</v>
      </c>
      <c r="B10" s="1">
        <v>44815</v>
      </c>
      <c r="C10" t="s">
        <v>22</v>
      </c>
      <c r="D10">
        <v>9.9499999999999993</v>
      </c>
      <c r="E10">
        <v>201.01</v>
      </c>
      <c r="F10" t="s">
        <v>16</v>
      </c>
      <c r="G10" t="s">
        <v>19</v>
      </c>
      <c r="H10" s="6">
        <f>PRODUCT(Table1[[#This Row],[Quantity]],Table1[[#This Row],[Price]])</f>
        <v>2000.0494999999999</v>
      </c>
      <c r="I10" t="s">
        <v>24</v>
      </c>
      <c r="J10" t="s">
        <v>23</v>
      </c>
    </row>
    <row r="11" spans="1:10" x14ac:dyDescent="0.25">
      <c r="A11">
        <v>10462</v>
      </c>
      <c r="B11" s="1">
        <v>44815</v>
      </c>
      <c r="C11" t="s">
        <v>9</v>
      </c>
      <c r="D11">
        <v>3.49</v>
      </c>
      <c r="E11">
        <v>573.07000000000005</v>
      </c>
      <c r="F11" t="s">
        <v>16</v>
      </c>
      <c r="G11" t="s">
        <v>19</v>
      </c>
      <c r="H11" s="6">
        <f>PRODUCT(Table1[[#This Row],[Quantity]],Table1[[#This Row],[Price]])</f>
        <v>2000.0143000000003</v>
      </c>
      <c r="I11" t="s">
        <v>24</v>
      </c>
      <c r="J11" t="s">
        <v>23</v>
      </c>
    </row>
    <row r="12" spans="1:10" x14ac:dyDescent="0.25">
      <c r="A12">
        <v>10463</v>
      </c>
      <c r="B12" s="1">
        <v>44815</v>
      </c>
      <c r="C12" t="s">
        <v>13</v>
      </c>
      <c r="D12">
        <v>2.95</v>
      </c>
      <c r="E12">
        <v>677.97</v>
      </c>
      <c r="F12" t="s">
        <v>16</v>
      </c>
      <c r="G12" t="s">
        <v>19</v>
      </c>
      <c r="H12" s="6">
        <f>PRODUCT(Table1[[#This Row],[Quantity]],Table1[[#This Row],[Price]])</f>
        <v>2000.0115000000003</v>
      </c>
      <c r="I12" t="s">
        <v>24</v>
      </c>
      <c r="J12" t="s">
        <v>23</v>
      </c>
    </row>
    <row r="13" spans="1:10" x14ac:dyDescent="0.25">
      <c r="A13">
        <v>10464</v>
      </c>
      <c r="B13" s="1">
        <v>44815</v>
      </c>
      <c r="C13" t="s">
        <v>15</v>
      </c>
      <c r="D13">
        <v>4.99</v>
      </c>
      <c r="E13">
        <v>200.4</v>
      </c>
      <c r="F13" t="s">
        <v>16</v>
      </c>
      <c r="G13" t="s">
        <v>19</v>
      </c>
      <c r="H13" s="6">
        <f>PRODUCT(Table1[[#This Row],[Quantity]],Table1[[#This Row],[Price]])</f>
        <v>999.99600000000009</v>
      </c>
      <c r="I13" t="s">
        <v>24</v>
      </c>
      <c r="J13" t="s">
        <v>23</v>
      </c>
    </row>
    <row r="14" spans="1:10" x14ac:dyDescent="0.25">
      <c r="A14">
        <v>10465</v>
      </c>
      <c r="B14" s="1">
        <v>44845</v>
      </c>
      <c r="C14" t="s">
        <v>18</v>
      </c>
      <c r="D14">
        <v>12.99</v>
      </c>
      <c r="E14">
        <v>554.27</v>
      </c>
      <c r="F14" t="s">
        <v>16</v>
      </c>
      <c r="G14" t="s">
        <v>19</v>
      </c>
      <c r="H14" s="6">
        <f>PRODUCT(Table1[[#This Row],[Quantity]],Table1[[#This Row],[Price]])</f>
        <v>7199.9673000000003</v>
      </c>
      <c r="I14" t="s">
        <v>25</v>
      </c>
      <c r="J14" t="s">
        <v>14</v>
      </c>
    </row>
    <row r="15" spans="1:10" x14ac:dyDescent="0.25">
      <c r="A15">
        <v>10466</v>
      </c>
      <c r="B15" s="1">
        <v>44845</v>
      </c>
      <c r="C15" t="s">
        <v>22</v>
      </c>
      <c r="D15">
        <v>9.9499999999999993</v>
      </c>
      <c r="E15">
        <v>201.01</v>
      </c>
      <c r="F15" t="s">
        <v>16</v>
      </c>
      <c r="G15" t="s">
        <v>19</v>
      </c>
      <c r="H15" s="6">
        <f>PRODUCT(Table1[[#This Row],[Quantity]],Table1[[#This Row],[Price]])</f>
        <v>2000.0494999999999</v>
      </c>
      <c r="I15" t="s">
        <v>25</v>
      </c>
      <c r="J15" t="s">
        <v>14</v>
      </c>
    </row>
    <row r="16" spans="1:10" x14ac:dyDescent="0.25">
      <c r="A16">
        <v>10467</v>
      </c>
      <c r="B16" s="1">
        <v>44845</v>
      </c>
      <c r="C16" t="s">
        <v>9</v>
      </c>
      <c r="D16">
        <v>3.49</v>
      </c>
      <c r="E16">
        <v>573.07000000000005</v>
      </c>
      <c r="F16" t="s">
        <v>16</v>
      </c>
      <c r="G16" t="s">
        <v>19</v>
      </c>
      <c r="H16" s="6">
        <f>PRODUCT(Table1[[#This Row],[Quantity]],Table1[[#This Row],[Price]])</f>
        <v>2000.0143000000003</v>
      </c>
      <c r="I16" t="s">
        <v>25</v>
      </c>
      <c r="J16" t="s">
        <v>14</v>
      </c>
    </row>
    <row r="17" spans="10:10" x14ac:dyDescent="0.25">
      <c r="J17" s="2"/>
    </row>
    <row r="18" spans="10:10" x14ac:dyDescent="0.25">
      <c r="J18" s="3"/>
    </row>
    <row r="19" spans="10:10" x14ac:dyDescent="0.25">
      <c r="J19" s="2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E13"/>
  <sheetViews>
    <sheetView showGridLines="0" tabSelected="1" zoomScale="35" zoomScaleNormal="35" workbookViewId="0">
      <selection activeCell="AW38" sqref="AW38"/>
    </sheetView>
  </sheetViews>
  <sheetFormatPr defaultRowHeight="15" x14ac:dyDescent="0.25"/>
  <cols>
    <col min="1" max="16384" width="9.140625" style="8"/>
  </cols>
  <sheetData>
    <row r="2" spans="1:31" ht="36" x14ac:dyDescent="0.55000000000000004">
      <c r="A2" s="10" t="s">
        <v>48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13" spans="1:31" x14ac:dyDescent="0.25">
      <c r="AE13" s="8" t="s">
        <v>49</v>
      </c>
    </row>
  </sheetData>
  <mergeCells count="1">
    <mergeCell ref="A2:AA2"/>
  </mergeCells>
  <printOptions headings="1"/>
  <pageMargins left="0.7" right="0.7" top="0.75" bottom="0.75" header="0.3" footer="0.3"/>
  <pageSetup scale="3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 1</vt:lpstr>
      <vt:lpstr>Sales-Data-Analysis classwork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2026-02-15T04:43:37Z</cp:lastPrinted>
  <dcterms:created xsi:type="dcterms:W3CDTF">2026-02-12T03:43:21Z</dcterms:created>
  <dcterms:modified xsi:type="dcterms:W3CDTF">2026-03-17T05:00:27Z</dcterms:modified>
</cp:coreProperties>
</file>